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1035\Desktop\study\数学建模\2024A题\建模总控\03-deliverables\03_Q3_最小螺距\tables\"/>
    </mc:Choice>
  </mc:AlternateContent>
  <xr:revisionPtr revIDLastSave="0" documentId="13_ncr:1_{ABA33623-5235-4075-AD40-3179C651B6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关键结果" sheetId="1" r:id="rId1"/>
    <sheet name="螺距扫描" sheetId="2" r:id="rId2"/>
    <sheet name="采样收敛" sheetId="3" r:id="rId3"/>
    <sheet name="单调性数学依据" sheetId="4" r:id="rId4"/>
  </sheets>
  <definedNames>
    <definedName name="_xlnm._FilterDatabase" localSheetId="2" hidden="1">采样收敛!$A$1:$J$4</definedName>
    <definedName name="_xlnm._FilterDatabase" localSheetId="3" hidden="1">单调性数学依据!$A$1:$C$5</definedName>
    <definedName name="_xlnm._FilterDatabase" localSheetId="0" hidden="1">关键结果!$A$1:$C$14</definedName>
    <definedName name="_xlnm._FilterDatabase" localSheetId="1" hidden="1">螺距扫描!$A$1:$K$57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 s="1"/>
  <c r="B8" i="1"/>
  <c r="B11" i="1" l="1"/>
</calcChain>
</file>

<file path=xl/sharedStrings.xml><?xml version="1.0" encoding="utf-8"?>
<sst xmlns="http://schemas.openxmlformats.org/spreadsheetml/2006/main" count="694" uniqueCount="441">
  <si>
    <t>指标</t>
  </si>
  <si>
    <t>数值</t>
  </si>
  <si>
    <t>单位/说明</t>
  </si>
  <si>
    <t>调头空间半径 R</t>
  </si>
  <si>
    <t>m，题面固定</t>
  </si>
  <si>
    <t>搜索变量</t>
  </si>
  <si>
    <t>螺距 p</t>
  </si>
  <si>
    <t>m</t>
  </si>
  <si>
    <t>单调扫描区间</t>
  </si>
  <si>
    <t>0.285–0.56</t>
  </si>
  <si>
    <t>单调认证</t>
  </si>
  <si>
    <t>通过</t>
  </si>
  <si>
    <t>无可行→不可行反转</t>
  </si>
  <si>
    <t>不可行下界</t>
  </si>
  <si>
    <t>可行上界</t>
  </si>
  <si>
    <t>夹逼宽度</t>
  </si>
  <si>
    <t>m，由上下界计算</t>
  </si>
  <si>
    <t>临界估计</t>
  </si>
  <si>
    <t>m，由上下界中点计算</t>
  </si>
  <si>
    <t>论文厘米口径</t>
  </si>
  <si>
    <t>cm，约 45.0 cm</t>
  </si>
  <si>
    <t>保证可行的毫米口径</t>
  </si>
  <si>
    <t>m，向上取整</t>
  </si>
  <si>
    <t>临界危险龙头半径</t>
  </si>
  <si>
    <t>临界候选板对</t>
  </si>
  <si>
    <t>第1块–第20块</t>
  </si>
  <si>
    <t>不可行下界处</t>
  </si>
  <si>
    <t>正式运行判定</t>
  </si>
  <si>
    <t>R-Q3-MIN-PITCH-001</t>
  </si>
  <si>
    <t>pitch_m</t>
  </si>
  <si>
    <t>feasible</t>
  </si>
  <si>
    <t>global_min_margin_m</t>
  </si>
  <si>
    <t>critical_head_theta</t>
  </si>
  <si>
    <t>critical_head_radius_m</t>
  </si>
  <si>
    <t>witness_pair_paper_numbering</t>
  </si>
  <si>
    <t>sampled_states</t>
  </si>
  <si>
    <t>refined_states</t>
  </si>
  <si>
    <t>tested_pairs</t>
  </si>
  <si>
    <t>circle_rejected_pairs</t>
  </si>
  <si>
    <t>total_forbidden_pairs</t>
  </si>
  <si>
    <t>0.285</t>
  </si>
  <si>
    <t>False</t>
  </si>
  <si>
    <t>-0.15963093530052525</t>
  </si>
  <si>
    <t>99.2081890607303</t>
  </si>
  <si>
    <t>4.5</t>
  </si>
  <si>
    <t>[1, 17]</t>
  </si>
  <si>
    <t>17</t>
  </si>
  <si>
    <t>67</t>
  </si>
  <si>
    <t>2169</t>
  </si>
  <si>
    <t>22362</t>
  </si>
  <si>
    <t>24531</t>
  </si>
  <si>
    <t>0.29</t>
  </si>
  <si>
    <t>-0.15646116935358675</t>
  </si>
  <si>
    <t>100.5309649148734</t>
  </si>
  <si>
    <t>4.640000000000001</t>
  </si>
  <si>
    <t>[1, 18]</t>
  </si>
  <si>
    <t>54</t>
  </si>
  <si>
    <t>2121</t>
  </si>
  <si>
    <t>22410</t>
  </si>
  <si>
    <t>0.295</t>
  </si>
  <si>
    <t>-0.15509193131448804</t>
  </si>
  <si>
    <t>99.4053205409965</t>
  </si>
  <si>
    <t>4.667150199451504</t>
  </si>
  <si>
    <t>41</t>
  </si>
  <si>
    <t>2092</t>
  </si>
  <si>
    <t>22439</t>
  </si>
  <si>
    <t>0.3</t>
  </si>
  <si>
    <t>-0.15009823586124135</t>
  </si>
  <si>
    <t>97.6849840276092</t>
  </si>
  <si>
    <t>4.6641144221540545</t>
  </si>
  <si>
    <t>48</t>
  </si>
  <si>
    <t>2076</t>
  </si>
  <si>
    <t>22455</t>
  </si>
  <si>
    <t>0.305</t>
  </si>
  <si>
    <t>-0.14510464250092178</t>
  </si>
  <si>
    <t>96.0210413923369</t>
  </si>
  <si>
    <t>4.661078130418681</t>
  </si>
  <si>
    <t>40</t>
  </si>
  <si>
    <t>2040</t>
  </si>
  <si>
    <t>22491</t>
  </si>
  <si>
    <t>0.31</t>
  </si>
  <si>
    <t>-0.14011115165353924</t>
  </si>
  <si>
    <t>94.4107657051953</t>
  </si>
  <si>
    <t>4.658041413352513</t>
  </si>
  <si>
    <t>50</t>
  </si>
  <si>
    <t>2020</t>
  </si>
  <si>
    <t>22511</t>
  </si>
  <si>
    <t>0.315</t>
  </si>
  <si>
    <t>-0.13511776373939308</t>
  </si>
  <si>
    <t>92.8515993679398</t>
  </si>
  <si>
    <t>4.655004169219716</t>
  </si>
  <si>
    <t>1980</t>
  </si>
  <si>
    <t>22551</t>
  </si>
  <si>
    <t>0.32</t>
  </si>
  <si>
    <t>-0.13012447917916</t>
  </si>
  <si>
    <t>91.3411475372899</t>
  </si>
  <si>
    <t>4.651966444238654</t>
  </si>
  <si>
    <t>51</t>
  </si>
  <si>
    <t>1954</t>
  </si>
  <si>
    <t>22577</t>
  </si>
  <si>
    <t>0.325</t>
  </si>
  <si>
    <t>-0.1251312983938467</t>
  </si>
  <si>
    <t>89.8771610129345</t>
  </si>
  <si>
    <t>4.648928195039279</t>
  </si>
  <si>
    <t>52</t>
  </si>
  <si>
    <t>1944</t>
  </si>
  <si>
    <t>22587</t>
  </si>
  <si>
    <t>0.33</t>
  </si>
  <si>
    <t>-0.12013822180481612</t>
  </si>
  <si>
    <t>88.4575291443054</t>
  </si>
  <si>
    <t>4.645889495613828</t>
  </si>
  <si>
    <t>49</t>
  </si>
  <si>
    <t>1933</t>
  </si>
  <si>
    <t>22598</t>
  </si>
  <si>
    <t>0.335</t>
  </si>
  <si>
    <t>-0.1151452498336851</t>
  </si>
  <si>
    <t>87.0802638823055</t>
  </si>
  <si>
    <t>4.642850238276213</t>
  </si>
  <si>
    <t>61</t>
  </si>
  <si>
    <t>1912</t>
  </si>
  <si>
    <t>22619</t>
  </si>
  <si>
    <t>0.34</t>
  </si>
  <si>
    <t>-0.11015238290270998</t>
  </si>
  <si>
    <t>85.7434980905022</t>
  </si>
  <si>
    <t>4.639810530091932</t>
  </si>
  <si>
    <t>1898</t>
  </si>
  <si>
    <t>22633</t>
  </si>
  <si>
    <t>0.345</t>
  </si>
  <si>
    <t>-0.10515962143420218</t>
  </si>
  <si>
    <t>84.4454695253812</t>
  </si>
  <si>
    <t>4.636770294354747</t>
  </si>
  <si>
    <t>1871</t>
  </si>
  <si>
    <t>22660</t>
  </si>
  <si>
    <t>0.35</t>
  </si>
  <si>
    <t>-0.10016696585093551</t>
  </si>
  <si>
    <t>83.1845183499059</t>
  </si>
  <si>
    <t>4.633729549437099</t>
  </si>
  <si>
    <t>62</t>
  </si>
  <si>
    <t>1848</t>
  </si>
  <si>
    <t>22683</t>
  </si>
  <si>
    <t>0.355</t>
  </si>
  <si>
    <t>-0.09517441657593781</t>
  </si>
  <si>
    <t>81.9590789537817</t>
  </si>
  <si>
    <t>4.6306883540974155</t>
  </si>
  <si>
    <t>66</t>
  </si>
  <si>
    <t>1826</t>
  </si>
  <si>
    <t>22705</t>
  </si>
  <si>
    <t>0.36</t>
  </si>
  <si>
    <t>-0.09018197403289335</t>
  </si>
  <si>
    <t>80.7676703473174</t>
  </si>
  <si>
    <t>4.627646632005215</t>
  </si>
  <si>
    <t>75</t>
  </si>
  <si>
    <t>1803</t>
  </si>
  <si>
    <t>22728</t>
  </si>
  <si>
    <t>0.365</t>
  </si>
  <si>
    <t>-0.0851896386455255</t>
  </si>
  <si>
    <t>79.6088943381041</t>
  </si>
  <si>
    <t>4.624604402516228</t>
  </si>
  <si>
    <t>73</t>
  </si>
  <si>
    <t>1774</t>
  </si>
  <si>
    <t>22757</t>
  </si>
  <si>
    <t>0.37</t>
  </si>
  <si>
    <t>-0.08019741083807427</t>
  </si>
  <si>
    <t>78.4814283149093</t>
  </si>
  <si>
    <t>4.621561685175119</t>
  </si>
  <si>
    <t>81</t>
  </si>
  <si>
    <t>1736</t>
  </si>
  <si>
    <t>22795</t>
  </si>
  <si>
    <t>0.375</t>
  </si>
  <si>
    <t>-0.07520529103509552</t>
  </si>
  <si>
    <t>77.3840193076361</t>
  </si>
  <si>
    <t>4.618518445923357</t>
  </si>
  <si>
    <t>86</t>
  </si>
  <si>
    <t>1727</t>
  </si>
  <si>
    <t>22804</t>
  </si>
  <si>
    <t>0.38</t>
  </si>
  <si>
    <t>-0.07021327966153562</t>
  </si>
  <si>
    <t>76.3154814704433</t>
  </si>
  <si>
    <t>4.61547472197442</t>
  </si>
  <si>
    <t>92</t>
  </si>
  <si>
    <t>1718</t>
  </si>
  <si>
    <t>22813</t>
  </si>
  <si>
    <t>0.385</t>
  </si>
  <si>
    <t>-0.06493261789332525</t>
  </si>
  <si>
    <t>75.1330243063065</t>
  </si>
  <si>
    <t>4.603749999999997</t>
  </si>
  <si>
    <t>90</t>
  </si>
  <si>
    <t>1707</t>
  </si>
  <si>
    <t>22824</t>
  </si>
  <si>
    <t>0.39</t>
  </si>
  <si>
    <t>-0.060228040021598095</t>
  </si>
  <si>
    <t>74.250334062728</t>
  </si>
  <si>
    <t>4.608750000000001</t>
  </si>
  <si>
    <t>1685</t>
  </si>
  <si>
    <t>22846</t>
  </si>
  <si>
    <t>0.395</t>
  </si>
  <si>
    <t>-0.05523790037229223</t>
  </si>
  <si>
    <t>73.2721290530473</t>
  </si>
  <si>
    <t>4.606340504215603</t>
  </si>
  <si>
    <t>106</t>
  </si>
  <si>
    <t>1672</t>
  </si>
  <si>
    <t>22859</t>
  </si>
  <si>
    <t>0.4</t>
  </si>
  <si>
    <t>-0.04977833990540956</t>
  </si>
  <si>
    <t>73.0255877673457</t>
  </si>
  <si>
    <t>4.648953306145645</t>
  </si>
  <si>
    <t>93</t>
  </si>
  <si>
    <t>1659</t>
  </si>
  <si>
    <t>22872</t>
  </si>
  <si>
    <t>0.405</t>
  </si>
  <si>
    <t>-0.04525486413378785</t>
  </si>
  <si>
    <t>71.3684287550531</t>
  </si>
  <si>
    <t>4.600248477912728</t>
  </si>
  <si>
    <t>97</t>
  </si>
  <si>
    <t>1643</t>
  </si>
  <si>
    <t>22888</t>
  </si>
  <si>
    <t>0.41</t>
  </si>
  <si>
    <t>-0.040263512281242336</t>
  </si>
  <si>
    <t>70.451390771328</t>
  </si>
  <si>
    <t>4.5972017064717905</t>
  </si>
  <si>
    <t>107</t>
  </si>
  <si>
    <t>1627</t>
  </si>
  <si>
    <t>22904</t>
  </si>
  <si>
    <t>0.415</t>
  </si>
  <si>
    <t>-0.03527227184312695</t>
  </si>
  <si>
    <t>69.5564424460563</t>
  </si>
  <si>
    <t>4.5941544302583655</t>
  </si>
  <si>
    <t>98</t>
  </si>
  <si>
    <t>1613</t>
  </si>
  <si>
    <t>22918</t>
  </si>
  <si>
    <t>0.42</t>
  </si>
  <si>
    <t>-0.030281143247375464</t>
  </si>
  <si>
    <t>68.6827940682037</t>
  </si>
  <si>
    <t>4.591106596153277</t>
  </si>
  <si>
    <t>1600</t>
  </si>
  <si>
    <t>22931</t>
  </si>
  <si>
    <t>0.425</t>
  </si>
  <si>
    <t>-0.02529012692232921</t>
  </si>
  <si>
    <t>67.829695897723</t>
  </si>
  <si>
    <t>4.588058340980635</t>
  </si>
  <si>
    <t>103</t>
  </si>
  <si>
    <t>1577</t>
  </si>
  <si>
    <t>22954</t>
  </si>
  <si>
    <t>0.43</t>
  </si>
  <si>
    <t>-0.020299223296676744</t>
  </si>
  <si>
    <t>66.9964288242108</t>
  </si>
  <si>
    <t>4.5850095112573195</t>
  </si>
  <si>
    <t>104</t>
  </si>
  <si>
    <t>1564</t>
  </si>
  <si>
    <t>22967</t>
  </si>
  <si>
    <t>0.435</t>
  </si>
  <si>
    <t>-0.01530843279951985</t>
  </si>
  <si>
    <t>66.1823101285031</t>
  </si>
  <si>
    <t>4.581960183953555</t>
  </si>
  <si>
    <t>1534</t>
  </si>
  <si>
    <t>22997</t>
  </si>
  <si>
    <t>0.44</t>
  </si>
  <si>
    <t>-0.010317755860292266</t>
  </si>
  <si>
    <t>65.3866867940388</t>
  </si>
  <si>
    <t>4.578910342896045</t>
  </si>
  <si>
    <t>96</t>
  </si>
  <si>
    <t>1487</t>
  </si>
  <si>
    <t>23044</t>
  </si>
  <si>
    <t>0.445</t>
  </si>
  <si>
    <t>-0.005327192909015371</t>
  </si>
  <si>
    <t>64.6089353414962</t>
  </si>
  <si>
    <t>4.5758599852391795</t>
  </si>
  <si>
    <t>[1, 20]</t>
  </si>
  <si>
    <t>1471</t>
  </si>
  <si>
    <t>23060</t>
  </si>
  <si>
    <t>0.45</t>
  </si>
  <si>
    <t>-0.00033674437590158757</t>
  </si>
  <si>
    <t>63.8484601318239</t>
  </si>
  <si>
    <t>4.572809117453511</t>
  </si>
  <si>
    <t>1465</t>
  </si>
  <si>
    <t>23066</t>
  </si>
  <si>
    <t>0.455</t>
  </si>
  <si>
    <t>True</t>
  </si>
  <si>
    <t>0.004653589308330958</t>
  </si>
  <si>
    <t>63.1046914078784</t>
  </si>
  <si>
    <t>4.56975772428289</t>
  </si>
  <si>
    <t>87</t>
  </si>
  <si>
    <t>1452</t>
  </si>
  <si>
    <t>23079</t>
  </si>
  <si>
    <t>0.46</t>
  </si>
  <si>
    <t>0.010188201080259751</t>
  </si>
  <si>
    <t>63.0978709302772</t>
  </si>
  <si>
    <t>4.619475506278891</t>
  </si>
  <si>
    <t>79</t>
  </si>
  <si>
    <t>1454</t>
  </si>
  <si>
    <t>23077</t>
  </si>
  <si>
    <t>0.465</t>
  </si>
  <si>
    <t>0.015184789302635282</t>
  </si>
  <si>
    <t>62.3862226688779</t>
  </si>
  <si>
    <t>4.617020209141362</t>
  </si>
  <si>
    <t>78</t>
  </si>
  <si>
    <t>1434</t>
  </si>
  <si>
    <t>23097</t>
  </si>
  <si>
    <t>0.47</t>
  </si>
  <si>
    <t>0.02684523663319019</t>
  </si>
  <si>
    <t>64.4913927870529</t>
  </si>
  <si>
    <t>4.824138256002023</t>
  </si>
  <si>
    <t>68</t>
  </si>
  <si>
    <t>1407</t>
  </si>
  <si>
    <t>23124</t>
  </si>
  <si>
    <t>0.475</t>
  </si>
  <si>
    <t>0.03183589281647575</t>
  </si>
  <si>
    <t>63.7725590528643</t>
  </si>
  <si>
    <t>4.821116053269498</t>
  </si>
  <si>
    <t>1397</t>
  </si>
  <si>
    <t>23134</t>
  </si>
  <si>
    <t>0.48</t>
  </si>
  <si>
    <t>0.03682644674170579</t>
  </si>
  <si>
    <t>63.0686975477642</t>
  </si>
  <si>
    <t>4.818093585165298</t>
  </si>
  <si>
    <t>71</t>
  </si>
  <si>
    <t>1399</t>
  </si>
  <si>
    <t>23132</t>
  </si>
  <si>
    <t>0.485</t>
  </si>
  <si>
    <t>0.0418168980205699</t>
  </si>
  <si>
    <t>62.3793418607972</t>
  </si>
  <si>
    <t>4.815070592923055</t>
  </si>
  <si>
    <t>59</t>
  </si>
  <si>
    <t>1382</t>
  </si>
  <si>
    <t>23149</t>
  </si>
  <si>
    <t>0.49</t>
  </si>
  <si>
    <t>0.04680724626465674</t>
  </si>
  <si>
    <t>61.7040489749989</t>
  </si>
  <si>
    <t>4.812047157546182</t>
  </si>
  <si>
    <t>60</t>
  </si>
  <si>
    <t>1370</t>
  </si>
  <si>
    <t>23161</t>
  </si>
  <si>
    <t>0.495</t>
  </si>
  <si>
    <t>0.05219436232245736</t>
  </si>
  <si>
    <t>57.1198664289053</t>
  </si>
  <si>
    <t>4.499999999999997</t>
  </si>
  <si>
    <t>57</t>
  </si>
  <si>
    <t>1378</t>
  </si>
  <si>
    <t>23153</t>
  </si>
  <si>
    <t>0.5</t>
  </si>
  <si>
    <t>0.05617541730345377</t>
  </si>
  <si>
    <t>56.5486677646163</t>
  </si>
  <si>
    <t>4.500000000000002</t>
  </si>
  <si>
    <t>1369</t>
  </si>
  <si>
    <t>23162</t>
  </si>
  <si>
    <t>0.505</t>
  </si>
  <si>
    <t>0.060229727206410094</t>
  </si>
  <si>
    <t>55.9887799649666</t>
  </si>
  <si>
    <t>4.499999999999999</t>
  </si>
  <si>
    <t>1365</t>
  </si>
  <si>
    <t>23166</t>
  </si>
  <si>
    <t>0.51</t>
  </si>
  <si>
    <t>0.06435684139810285</t>
  </si>
  <si>
    <t>55.4398703574669</t>
  </si>
  <si>
    <t>1356</t>
  </si>
  <si>
    <t>23175</t>
  </si>
  <si>
    <t>0.515</t>
  </si>
  <si>
    <t>0.06855631131707199</t>
  </si>
  <si>
    <t>54.9016191889478</t>
  </si>
  <si>
    <t>4.4999999999999964</t>
  </si>
  <si>
    <t>1337</t>
  </si>
  <si>
    <t>23194</t>
  </si>
  <si>
    <t>0.52</t>
  </si>
  <si>
    <t>0.07282769046725307</t>
  </si>
  <si>
    <t>54.3737190044387</t>
  </si>
  <si>
    <t>1318</t>
  </si>
  <si>
    <t>23213</t>
  </si>
  <si>
    <t>0.525</t>
  </si>
  <si>
    <t>0.0771705344146755</t>
  </si>
  <si>
    <t>53.8558740615393</t>
  </si>
  <si>
    <t>56</t>
  </si>
  <si>
    <t>1306</t>
  </si>
  <si>
    <t>23225</t>
  </si>
  <si>
    <t>0.53</t>
  </si>
  <si>
    <t>0.08158440078128129</t>
  </si>
  <si>
    <t>53.3477997779399</t>
  </si>
  <si>
    <t>1293</t>
  </si>
  <si>
    <t>23238</t>
  </si>
  <si>
    <t>0.535</t>
  </si>
  <si>
    <t>0.08606884924352479</t>
  </si>
  <si>
    <t>52.8492222099218</t>
  </si>
  <si>
    <t>4.5000000000000036</t>
  </si>
  <si>
    <t>1262</t>
  </si>
  <si>
    <t>23269</t>
  </si>
  <si>
    <t>0.54</t>
  </si>
  <si>
    <t>0.09062344152624649</t>
  </si>
  <si>
    <t>52.3598775598299</t>
  </si>
  <si>
    <t>4.500000000000001</t>
  </si>
  <si>
    <t>35</t>
  </si>
  <si>
    <t>1251</t>
  </si>
  <si>
    <t>23280</t>
  </si>
  <si>
    <t>0.545</t>
  </si>
  <si>
    <t>0.09524774139642692</t>
  </si>
  <si>
    <t>51.8795117106571</t>
  </si>
  <si>
    <t>1233</t>
  </si>
  <si>
    <t>23298</t>
  </si>
  <si>
    <t>0.55</t>
  </si>
  <si>
    <t>0.09994131466205686</t>
  </si>
  <si>
    <t>51.4078797860148</t>
  </si>
  <si>
    <t>39</t>
  </si>
  <si>
    <t>1204</t>
  </si>
  <si>
    <t>23327</t>
  </si>
  <si>
    <t>0.555</t>
  </si>
  <si>
    <t>0.10470372916476525</t>
  </si>
  <si>
    <t>50.9447457338885</t>
  </si>
  <si>
    <t>1180</t>
  </si>
  <si>
    <t>23351</t>
  </si>
  <si>
    <t>0.56</t>
  </si>
  <si>
    <t>0.10953455477516783</t>
  </si>
  <si>
    <t>50.4898819326931</t>
  </si>
  <si>
    <t>1172</t>
  </si>
  <si>
    <t>23359</t>
  </si>
  <si>
    <t>samples</t>
  </si>
  <si>
    <t>33</t>
  </si>
  <si>
    <t>0.450341796875</t>
  </si>
  <si>
    <t>4.395377842164594e-06</t>
  </si>
  <si>
    <t>63.7970908289609</t>
  </si>
  <si>
    <t>4.5726005385329715</t>
  </si>
  <si>
    <t>142</t>
  </si>
  <si>
    <t>1468</t>
  </si>
  <si>
    <t>23063</t>
  </si>
  <si>
    <t>65</t>
  </si>
  <si>
    <t>4.395377842247861e-06</t>
  </si>
  <si>
    <t>63.7970908315911</t>
  </si>
  <si>
    <t>4.572600538721489</t>
  </si>
  <si>
    <t>170</t>
  </si>
  <si>
    <t>129</t>
  </si>
  <si>
    <t>4.395377839416792e-06</t>
  </si>
  <si>
    <t>63.7970908453588</t>
  </si>
  <si>
    <t>4.572600539708277</t>
  </si>
  <si>
    <t>288</t>
  </si>
  <si>
    <t>normal_spacing_at_R_m</t>
  </si>
  <si>
    <t>derivative_m_per_m</t>
  </si>
  <si>
    <t>0.3999599778855048</t>
  </si>
  <si>
    <t>0.9996998641734655</t>
  </si>
  <si>
    <t>0.44994301765931927</t>
  </si>
  <si>
    <t>0.9996201658302785</t>
  </si>
  <si>
    <t>0.4999218384058753</t>
  </si>
  <si>
    <t>0.9995311037422491</t>
  </si>
  <si>
    <t>0.5498959720404495</t>
  </si>
  <si>
    <t>0.9994326820831202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</si>
</sst>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4" x14ac:knownFonts="1">
    <font>
      <sz val="11"/>
      <color theme="1"/>
      <name val="宋体"/>
      <family val="2"/>
      <scheme val="minor"/>
    </font>
    <font>
      <b/>
      <sz val="11"/>
      <name val="Arial"/>
    </font>
    <font>
      <sz val="10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4" customWidth="1"/>
    <col min="2" max="2" width="22" customWidth="1"/>
    <col min="3" max="3" width="3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4.5</v>
      </c>
      <c r="C2" s="2" t="s">
        <v>4</v>
      </c>
    </row>
    <row r="3" spans="1:3" x14ac:dyDescent="0.25">
      <c r="A3" s="2" t="s">
        <v>5</v>
      </c>
      <c r="B3" s="3" t="s">
        <v>6</v>
      </c>
      <c r="C3" s="2" t="s">
        <v>7</v>
      </c>
    </row>
    <row r="4" spans="1:3" x14ac:dyDescent="0.25">
      <c r="A4" s="2" t="s">
        <v>8</v>
      </c>
      <c r="B4" s="3" t="s">
        <v>9</v>
      </c>
      <c r="C4" s="2" t="s">
        <v>7</v>
      </c>
    </row>
    <row r="5" spans="1:3" x14ac:dyDescent="0.25">
      <c r="A5" s="2" t="s">
        <v>10</v>
      </c>
      <c r="B5" s="3" t="s">
        <v>11</v>
      </c>
      <c r="C5" s="2" t="s">
        <v>12</v>
      </c>
    </row>
    <row r="6" spans="1:3" x14ac:dyDescent="0.25">
      <c r="A6" s="2" t="s">
        <v>13</v>
      </c>
      <c r="B6" s="3">
        <v>0.45033203124999999</v>
      </c>
      <c r="C6" s="2" t="s">
        <v>7</v>
      </c>
    </row>
    <row r="7" spans="1:3" x14ac:dyDescent="0.25">
      <c r="A7" s="2" t="s">
        <v>14</v>
      </c>
      <c r="B7" s="3">
        <v>0.45034179687499998</v>
      </c>
      <c r="C7" s="2" t="s">
        <v>7</v>
      </c>
    </row>
    <row r="8" spans="1:3" x14ac:dyDescent="0.25">
      <c r="A8" s="2" t="s">
        <v>15</v>
      </c>
      <c r="B8" s="3">
        <f>B7-B6</f>
        <v>9.7656249999911182E-6</v>
      </c>
      <c r="C8" s="2" t="s">
        <v>16</v>
      </c>
    </row>
    <row r="9" spans="1:3" x14ac:dyDescent="0.25">
      <c r="A9" s="2" t="s">
        <v>17</v>
      </c>
      <c r="B9" s="3">
        <f>(B6+B7)/2</f>
        <v>0.45033691406249998</v>
      </c>
      <c r="C9" s="2" t="s">
        <v>18</v>
      </c>
    </row>
    <row r="10" spans="1:3" x14ac:dyDescent="0.25">
      <c r="A10" s="2" t="s">
        <v>19</v>
      </c>
      <c r="B10" s="3">
        <f>B9*100</f>
        <v>45.03369140625</v>
      </c>
      <c r="C10" s="2" t="s">
        <v>20</v>
      </c>
    </row>
    <row r="11" spans="1:3" x14ac:dyDescent="0.25">
      <c r="A11" s="2" t="s">
        <v>21</v>
      </c>
      <c r="B11" s="3">
        <f>ROUNDUP(B9*1000,0)/1000</f>
        <v>0.45100000000000001</v>
      </c>
      <c r="C11" s="2" t="s">
        <v>22</v>
      </c>
    </row>
    <row r="12" spans="1:3" x14ac:dyDescent="0.25">
      <c r="A12" s="2" t="s">
        <v>23</v>
      </c>
      <c r="B12" s="3">
        <v>4.5726005387214892</v>
      </c>
      <c r="C12" s="2" t="s">
        <v>7</v>
      </c>
    </row>
    <row r="13" spans="1:3" x14ac:dyDescent="0.25">
      <c r="A13" s="2" t="s">
        <v>24</v>
      </c>
      <c r="B13" s="3" t="s">
        <v>25</v>
      </c>
      <c r="C13" s="2" t="s">
        <v>26</v>
      </c>
    </row>
    <row r="14" spans="1:3" x14ac:dyDescent="0.25">
      <c r="A14" s="2" t="s">
        <v>27</v>
      </c>
      <c r="B14" s="3" t="s">
        <v>11</v>
      </c>
      <c r="C14" s="2" t="s">
        <v>28</v>
      </c>
    </row>
  </sheetData>
  <autoFilter ref="A1:C14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2" width="12" customWidth="1"/>
    <col min="3" max="5" width="22" customWidth="1"/>
    <col min="6" max="6" width="26" customWidth="1"/>
    <col min="7" max="9" width="15" customWidth="1"/>
    <col min="10" max="10" width="22" customWidth="1"/>
    <col min="11" max="11" width="20" customWidth="1"/>
  </cols>
  <sheetData>
    <row r="1" spans="1:1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 x14ac:dyDescent="0.2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</row>
    <row r="3" spans="1:11" x14ac:dyDescent="0.25">
      <c r="A3" s="2" t="s">
        <v>51</v>
      </c>
      <c r="B3" s="2" t="s">
        <v>41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46</v>
      </c>
      <c r="H3" s="2" t="s">
        <v>56</v>
      </c>
      <c r="I3" s="2" t="s">
        <v>57</v>
      </c>
      <c r="J3" s="2" t="s">
        <v>58</v>
      </c>
      <c r="K3" s="2" t="s">
        <v>50</v>
      </c>
    </row>
    <row r="4" spans="1:11" x14ac:dyDescent="0.25">
      <c r="A4" s="2" t="s">
        <v>59</v>
      </c>
      <c r="B4" s="2" t="s">
        <v>41</v>
      </c>
      <c r="C4" s="2" t="s">
        <v>60</v>
      </c>
      <c r="D4" s="2" t="s">
        <v>61</v>
      </c>
      <c r="E4" s="2" t="s">
        <v>62</v>
      </c>
      <c r="F4" s="2" t="s">
        <v>55</v>
      </c>
      <c r="G4" s="2" t="s">
        <v>46</v>
      </c>
      <c r="H4" s="2" t="s">
        <v>63</v>
      </c>
      <c r="I4" s="2" t="s">
        <v>64</v>
      </c>
      <c r="J4" s="2" t="s">
        <v>65</v>
      </c>
      <c r="K4" s="2" t="s">
        <v>50</v>
      </c>
    </row>
    <row r="5" spans="1:11" x14ac:dyDescent="0.25">
      <c r="A5" s="2" t="s">
        <v>66</v>
      </c>
      <c r="B5" s="2" t="s">
        <v>41</v>
      </c>
      <c r="C5" s="2" t="s">
        <v>67</v>
      </c>
      <c r="D5" s="2" t="s">
        <v>68</v>
      </c>
      <c r="E5" s="2" t="s">
        <v>69</v>
      </c>
      <c r="F5" s="2" t="s">
        <v>55</v>
      </c>
      <c r="G5" s="2" t="s">
        <v>46</v>
      </c>
      <c r="H5" s="2" t="s">
        <v>70</v>
      </c>
      <c r="I5" s="2" t="s">
        <v>71</v>
      </c>
      <c r="J5" s="2" t="s">
        <v>72</v>
      </c>
      <c r="K5" s="2" t="s">
        <v>50</v>
      </c>
    </row>
    <row r="6" spans="1:11" x14ac:dyDescent="0.25">
      <c r="A6" s="2" t="s">
        <v>73</v>
      </c>
      <c r="B6" s="2" t="s">
        <v>41</v>
      </c>
      <c r="C6" s="2" t="s">
        <v>74</v>
      </c>
      <c r="D6" s="2" t="s">
        <v>75</v>
      </c>
      <c r="E6" s="2" t="s">
        <v>76</v>
      </c>
      <c r="F6" s="2" t="s">
        <v>55</v>
      </c>
      <c r="G6" s="2" t="s">
        <v>46</v>
      </c>
      <c r="H6" s="2" t="s">
        <v>77</v>
      </c>
      <c r="I6" s="2" t="s">
        <v>78</v>
      </c>
      <c r="J6" s="2" t="s">
        <v>79</v>
      </c>
      <c r="K6" s="2" t="s">
        <v>50</v>
      </c>
    </row>
    <row r="7" spans="1:11" x14ac:dyDescent="0.25">
      <c r="A7" s="2" t="s">
        <v>80</v>
      </c>
      <c r="B7" s="2" t="s">
        <v>41</v>
      </c>
      <c r="C7" s="2" t="s">
        <v>81</v>
      </c>
      <c r="D7" s="2" t="s">
        <v>82</v>
      </c>
      <c r="E7" s="2" t="s">
        <v>83</v>
      </c>
      <c r="F7" s="2" t="s">
        <v>55</v>
      </c>
      <c r="G7" s="2" t="s">
        <v>46</v>
      </c>
      <c r="H7" s="2" t="s">
        <v>84</v>
      </c>
      <c r="I7" s="2" t="s">
        <v>85</v>
      </c>
      <c r="J7" s="2" t="s">
        <v>86</v>
      </c>
      <c r="K7" s="2" t="s">
        <v>50</v>
      </c>
    </row>
    <row r="8" spans="1:11" x14ac:dyDescent="0.25">
      <c r="A8" s="2" t="s">
        <v>87</v>
      </c>
      <c r="B8" s="2" t="s">
        <v>41</v>
      </c>
      <c r="C8" s="2" t="s">
        <v>88</v>
      </c>
      <c r="D8" s="2" t="s">
        <v>89</v>
      </c>
      <c r="E8" s="2" t="s">
        <v>90</v>
      </c>
      <c r="F8" s="2" t="s">
        <v>55</v>
      </c>
      <c r="G8" s="2" t="s">
        <v>46</v>
      </c>
      <c r="H8" s="2" t="s">
        <v>84</v>
      </c>
      <c r="I8" s="2" t="s">
        <v>91</v>
      </c>
      <c r="J8" s="2" t="s">
        <v>92</v>
      </c>
      <c r="K8" s="2" t="s">
        <v>50</v>
      </c>
    </row>
    <row r="9" spans="1:11" x14ac:dyDescent="0.25">
      <c r="A9" s="2" t="s">
        <v>93</v>
      </c>
      <c r="B9" s="2" t="s">
        <v>41</v>
      </c>
      <c r="C9" s="2" t="s">
        <v>94</v>
      </c>
      <c r="D9" s="2" t="s">
        <v>95</v>
      </c>
      <c r="E9" s="2" t="s">
        <v>96</v>
      </c>
      <c r="F9" s="2" t="s">
        <v>55</v>
      </c>
      <c r="G9" s="2" t="s">
        <v>46</v>
      </c>
      <c r="H9" s="2" t="s">
        <v>97</v>
      </c>
      <c r="I9" s="2" t="s">
        <v>98</v>
      </c>
      <c r="J9" s="2" t="s">
        <v>99</v>
      </c>
      <c r="K9" s="2" t="s">
        <v>50</v>
      </c>
    </row>
    <row r="10" spans="1:11" x14ac:dyDescent="0.25">
      <c r="A10" s="2" t="s">
        <v>100</v>
      </c>
      <c r="B10" s="2" t="s">
        <v>41</v>
      </c>
      <c r="C10" s="2" t="s">
        <v>101</v>
      </c>
      <c r="D10" s="2" t="s">
        <v>102</v>
      </c>
      <c r="E10" s="2" t="s">
        <v>103</v>
      </c>
      <c r="F10" s="2" t="s">
        <v>55</v>
      </c>
      <c r="G10" s="2" t="s">
        <v>46</v>
      </c>
      <c r="H10" s="2" t="s">
        <v>104</v>
      </c>
      <c r="I10" s="2" t="s">
        <v>105</v>
      </c>
      <c r="J10" s="2" t="s">
        <v>106</v>
      </c>
      <c r="K10" s="2" t="s">
        <v>50</v>
      </c>
    </row>
    <row r="11" spans="1:11" x14ac:dyDescent="0.25">
      <c r="A11" s="2" t="s">
        <v>107</v>
      </c>
      <c r="B11" s="2" t="s">
        <v>41</v>
      </c>
      <c r="C11" s="2" t="s">
        <v>108</v>
      </c>
      <c r="D11" s="2" t="s">
        <v>109</v>
      </c>
      <c r="E11" s="2" t="s">
        <v>110</v>
      </c>
      <c r="F11" s="2" t="s">
        <v>55</v>
      </c>
      <c r="G11" s="2" t="s">
        <v>46</v>
      </c>
      <c r="H11" s="2" t="s">
        <v>111</v>
      </c>
      <c r="I11" s="2" t="s">
        <v>112</v>
      </c>
      <c r="J11" s="2" t="s">
        <v>113</v>
      </c>
      <c r="K11" s="2" t="s">
        <v>50</v>
      </c>
    </row>
    <row r="12" spans="1:11" x14ac:dyDescent="0.25">
      <c r="A12" s="2" t="s">
        <v>114</v>
      </c>
      <c r="B12" s="2" t="s">
        <v>41</v>
      </c>
      <c r="C12" s="2" t="s">
        <v>115</v>
      </c>
      <c r="D12" s="2" t="s">
        <v>116</v>
      </c>
      <c r="E12" s="2" t="s">
        <v>117</v>
      </c>
      <c r="F12" s="2" t="s">
        <v>55</v>
      </c>
      <c r="G12" s="2" t="s">
        <v>46</v>
      </c>
      <c r="H12" s="2" t="s">
        <v>118</v>
      </c>
      <c r="I12" s="2" t="s">
        <v>119</v>
      </c>
      <c r="J12" s="2" t="s">
        <v>120</v>
      </c>
      <c r="K12" s="2" t="s">
        <v>50</v>
      </c>
    </row>
    <row r="13" spans="1:11" x14ac:dyDescent="0.25">
      <c r="A13" s="2" t="s">
        <v>121</v>
      </c>
      <c r="B13" s="2" t="s">
        <v>41</v>
      </c>
      <c r="C13" s="2" t="s">
        <v>122</v>
      </c>
      <c r="D13" s="2" t="s">
        <v>123</v>
      </c>
      <c r="E13" s="2" t="s">
        <v>124</v>
      </c>
      <c r="F13" s="2" t="s">
        <v>55</v>
      </c>
      <c r="G13" s="2" t="s">
        <v>46</v>
      </c>
      <c r="H13" s="2" t="s">
        <v>104</v>
      </c>
      <c r="I13" s="2" t="s">
        <v>125</v>
      </c>
      <c r="J13" s="2" t="s">
        <v>126</v>
      </c>
      <c r="K13" s="2" t="s">
        <v>50</v>
      </c>
    </row>
    <row r="14" spans="1:11" x14ac:dyDescent="0.25">
      <c r="A14" s="2" t="s">
        <v>127</v>
      </c>
      <c r="B14" s="2" t="s">
        <v>41</v>
      </c>
      <c r="C14" s="2" t="s">
        <v>128</v>
      </c>
      <c r="D14" s="2" t="s">
        <v>129</v>
      </c>
      <c r="E14" s="2" t="s">
        <v>130</v>
      </c>
      <c r="F14" s="2" t="s">
        <v>55</v>
      </c>
      <c r="G14" s="2" t="s">
        <v>46</v>
      </c>
      <c r="H14" s="2" t="s">
        <v>47</v>
      </c>
      <c r="I14" s="2" t="s">
        <v>131</v>
      </c>
      <c r="J14" s="2" t="s">
        <v>132</v>
      </c>
      <c r="K14" s="2" t="s">
        <v>50</v>
      </c>
    </row>
    <row r="15" spans="1:11" x14ac:dyDescent="0.25">
      <c r="A15" s="2" t="s">
        <v>133</v>
      </c>
      <c r="B15" s="2" t="s">
        <v>41</v>
      </c>
      <c r="C15" s="2" t="s">
        <v>134</v>
      </c>
      <c r="D15" s="2" t="s">
        <v>135</v>
      </c>
      <c r="E15" s="2" t="s">
        <v>136</v>
      </c>
      <c r="F15" s="2" t="s">
        <v>55</v>
      </c>
      <c r="G15" s="2" t="s">
        <v>46</v>
      </c>
      <c r="H15" s="2" t="s">
        <v>137</v>
      </c>
      <c r="I15" s="2" t="s">
        <v>138</v>
      </c>
      <c r="J15" s="2" t="s">
        <v>139</v>
      </c>
      <c r="K15" s="2" t="s">
        <v>50</v>
      </c>
    </row>
    <row r="16" spans="1:11" x14ac:dyDescent="0.25">
      <c r="A16" s="2" t="s">
        <v>140</v>
      </c>
      <c r="B16" s="2" t="s">
        <v>41</v>
      </c>
      <c r="C16" s="2" t="s">
        <v>141</v>
      </c>
      <c r="D16" s="2" t="s">
        <v>142</v>
      </c>
      <c r="E16" s="2" t="s">
        <v>143</v>
      </c>
      <c r="F16" s="2" t="s">
        <v>55</v>
      </c>
      <c r="G16" s="2" t="s">
        <v>46</v>
      </c>
      <c r="H16" s="2" t="s">
        <v>144</v>
      </c>
      <c r="I16" s="2" t="s">
        <v>145</v>
      </c>
      <c r="J16" s="2" t="s">
        <v>146</v>
      </c>
      <c r="K16" s="2" t="s">
        <v>50</v>
      </c>
    </row>
    <row r="17" spans="1:11" x14ac:dyDescent="0.25">
      <c r="A17" s="2" t="s">
        <v>147</v>
      </c>
      <c r="B17" s="2" t="s">
        <v>41</v>
      </c>
      <c r="C17" s="2" t="s">
        <v>148</v>
      </c>
      <c r="D17" s="2" t="s">
        <v>149</v>
      </c>
      <c r="E17" s="2" t="s">
        <v>150</v>
      </c>
      <c r="F17" s="2" t="s">
        <v>55</v>
      </c>
      <c r="G17" s="2" t="s">
        <v>46</v>
      </c>
      <c r="H17" s="2" t="s">
        <v>151</v>
      </c>
      <c r="I17" s="2" t="s">
        <v>152</v>
      </c>
      <c r="J17" s="2" t="s">
        <v>153</v>
      </c>
      <c r="K17" s="2" t="s">
        <v>50</v>
      </c>
    </row>
    <row r="18" spans="1:11" x14ac:dyDescent="0.25">
      <c r="A18" s="2" t="s">
        <v>154</v>
      </c>
      <c r="B18" s="2" t="s">
        <v>41</v>
      </c>
      <c r="C18" s="2" t="s">
        <v>155</v>
      </c>
      <c r="D18" s="2" t="s">
        <v>156</v>
      </c>
      <c r="E18" s="2" t="s">
        <v>157</v>
      </c>
      <c r="F18" s="2" t="s">
        <v>55</v>
      </c>
      <c r="G18" s="2" t="s">
        <v>46</v>
      </c>
      <c r="H18" s="2" t="s">
        <v>158</v>
      </c>
      <c r="I18" s="2" t="s">
        <v>159</v>
      </c>
      <c r="J18" s="2" t="s">
        <v>160</v>
      </c>
      <c r="K18" s="2" t="s">
        <v>50</v>
      </c>
    </row>
    <row r="19" spans="1:11" x14ac:dyDescent="0.25">
      <c r="A19" s="2" t="s">
        <v>161</v>
      </c>
      <c r="B19" s="2" t="s">
        <v>41</v>
      </c>
      <c r="C19" s="2" t="s">
        <v>162</v>
      </c>
      <c r="D19" s="2" t="s">
        <v>163</v>
      </c>
      <c r="E19" s="2" t="s">
        <v>164</v>
      </c>
      <c r="F19" s="2" t="s">
        <v>55</v>
      </c>
      <c r="G19" s="2" t="s">
        <v>46</v>
      </c>
      <c r="H19" s="2" t="s">
        <v>165</v>
      </c>
      <c r="I19" s="2" t="s">
        <v>166</v>
      </c>
      <c r="J19" s="2" t="s">
        <v>167</v>
      </c>
      <c r="K19" s="2" t="s">
        <v>50</v>
      </c>
    </row>
    <row r="20" spans="1:11" x14ac:dyDescent="0.25">
      <c r="A20" s="2" t="s">
        <v>168</v>
      </c>
      <c r="B20" s="2" t="s">
        <v>41</v>
      </c>
      <c r="C20" s="2" t="s">
        <v>169</v>
      </c>
      <c r="D20" s="2" t="s">
        <v>170</v>
      </c>
      <c r="E20" s="2" t="s">
        <v>171</v>
      </c>
      <c r="F20" s="2" t="s">
        <v>55</v>
      </c>
      <c r="G20" s="2" t="s">
        <v>46</v>
      </c>
      <c r="H20" s="2" t="s">
        <v>172</v>
      </c>
      <c r="I20" s="2" t="s">
        <v>173</v>
      </c>
      <c r="J20" s="2" t="s">
        <v>174</v>
      </c>
      <c r="K20" s="2" t="s">
        <v>50</v>
      </c>
    </row>
    <row r="21" spans="1:11" x14ac:dyDescent="0.25">
      <c r="A21" s="2" t="s">
        <v>175</v>
      </c>
      <c r="B21" s="2" t="s">
        <v>41</v>
      </c>
      <c r="C21" s="2" t="s">
        <v>176</v>
      </c>
      <c r="D21" s="2" t="s">
        <v>177</v>
      </c>
      <c r="E21" s="2" t="s">
        <v>178</v>
      </c>
      <c r="F21" s="2" t="s">
        <v>55</v>
      </c>
      <c r="G21" s="2" t="s">
        <v>46</v>
      </c>
      <c r="H21" s="2" t="s">
        <v>179</v>
      </c>
      <c r="I21" s="2" t="s">
        <v>180</v>
      </c>
      <c r="J21" s="2" t="s">
        <v>181</v>
      </c>
      <c r="K21" s="2" t="s">
        <v>50</v>
      </c>
    </row>
    <row r="22" spans="1:11" x14ac:dyDescent="0.25">
      <c r="A22" s="2" t="s">
        <v>182</v>
      </c>
      <c r="B22" s="2" t="s">
        <v>41</v>
      </c>
      <c r="C22" s="2" t="s">
        <v>183</v>
      </c>
      <c r="D22" s="2" t="s">
        <v>184</v>
      </c>
      <c r="E22" s="2" t="s">
        <v>185</v>
      </c>
      <c r="F22" s="2" t="s">
        <v>55</v>
      </c>
      <c r="G22" s="2" t="s">
        <v>46</v>
      </c>
      <c r="H22" s="2" t="s">
        <v>186</v>
      </c>
      <c r="I22" s="2" t="s">
        <v>187</v>
      </c>
      <c r="J22" s="2" t="s">
        <v>188</v>
      </c>
      <c r="K22" s="2" t="s">
        <v>50</v>
      </c>
    </row>
    <row r="23" spans="1:11" x14ac:dyDescent="0.25">
      <c r="A23" s="2" t="s">
        <v>189</v>
      </c>
      <c r="B23" s="2" t="s">
        <v>41</v>
      </c>
      <c r="C23" s="2" t="s">
        <v>190</v>
      </c>
      <c r="D23" s="2" t="s">
        <v>191</v>
      </c>
      <c r="E23" s="2" t="s">
        <v>192</v>
      </c>
      <c r="F23" s="2" t="s">
        <v>55</v>
      </c>
      <c r="G23" s="2" t="s">
        <v>46</v>
      </c>
      <c r="H23" s="2" t="s">
        <v>165</v>
      </c>
      <c r="I23" s="2" t="s">
        <v>193</v>
      </c>
      <c r="J23" s="2" t="s">
        <v>194</v>
      </c>
      <c r="K23" s="2" t="s">
        <v>50</v>
      </c>
    </row>
    <row r="24" spans="1:11" x14ac:dyDescent="0.25">
      <c r="A24" s="2" t="s">
        <v>195</v>
      </c>
      <c r="B24" s="2" t="s">
        <v>41</v>
      </c>
      <c r="C24" s="2" t="s">
        <v>196</v>
      </c>
      <c r="D24" s="2" t="s">
        <v>197</v>
      </c>
      <c r="E24" s="2" t="s">
        <v>198</v>
      </c>
      <c r="F24" s="2" t="s">
        <v>55</v>
      </c>
      <c r="G24" s="2" t="s">
        <v>46</v>
      </c>
      <c r="H24" s="2" t="s">
        <v>199</v>
      </c>
      <c r="I24" s="2" t="s">
        <v>200</v>
      </c>
      <c r="J24" s="2" t="s">
        <v>201</v>
      </c>
      <c r="K24" s="2" t="s">
        <v>50</v>
      </c>
    </row>
    <row r="25" spans="1:11" x14ac:dyDescent="0.25">
      <c r="A25" s="2" t="s">
        <v>202</v>
      </c>
      <c r="B25" s="2" t="s">
        <v>41</v>
      </c>
      <c r="C25" s="2" t="s">
        <v>203</v>
      </c>
      <c r="D25" s="2" t="s">
        <v>204</v>
      </c>
      <c r="E25" s="2" t="s">
        <v>205</v>
      </c>
      <c r="F25" s="2" t="s">
        <v>55</v>
      </c>
      <c r="G25" s="2" t="s">
        <v>46</v>
      </c>
      <c r="H25" s="2" t="s">
        <v>206</v>
      </c>
      <c r="I25" s="2" t="s">
        <v>207</v>
      </c>
      <c r="J25" s="2" t="s">
        <v>208</v>
      </c>
      <c r="K25" s="2" t="s">
        <v>50</v>
      </c>
    </row>
    <row r="26" spans="1:11" x14ac:dyDescent="0.25">
      <c r="A26" s="2" t="s">
        <v>209</v>
      </c>
      <c r="B26" s="2" t="s">
        <v>41</v>
      </c>
      <c r="C26" s="2" t="s">
        <v>210</v>
      </c>
      <c r="D26" s="2" t="s">
        <v>211</v>
      </c>
      <c r="E26" s="2" t="s">
        <v>212</v>
      </c>
      <c r="F26" s="2" t="s">
        <v>55</v>
      </c>
      <c r="G26" s="2" t="s">
        <v>46</v>
      </c>
      <c r="H26" s="2" t="s">
        <v>213</v>
      </c>
      <c r="I26" s="2" t="s">
        <v>214</v>
      </c>
      <c r="J26" s="2" t="s">
        <v>215</v>
      </c>
      <c r="K26" s="2" t="s">
        <v>50</v>
      </c>
    </row>
    <row r="27" spans="1:11" x14ac:dyDescent="0.25">
      <c r="A27" s="2" t="s">
        <v>216</v>
      </c>
      <c r="B27" s="2" t="s">
        <v>41</v>
      </c>
      <c r="C27" s="2" t="s">
        <v>217</v>
      </c>
      <c r="D27" s="2" t="s">
        <v>218</v>
      </c>
      <c r="E27" s="2" t="s">
        <v>219</v>
      </c>
      <c r="F27" s="2" t="s">
        <v>55</v>
      </c>
      <c r="G27" s="2" t="s">
        <v>46</v>
      </c>
      <c r="H27" s="2" t="s">
        <v>220</v>
      </c>
      <c r="I27" s="2" t="s">
        <v>221</v>
      </c>
      <c r="J27" s="2" t="s">
        <v>222</v>
      </c>
      <c r="K27" s="2" t="s">
        <v>50</v>
      </c>
    </row>
    <row r="28" spans="1:11" x14ac:dyDescent="0.25">
      <c r="A28" s="2" t="s">
        <v>223</v>
      </c>
      <c r="B28" s="2" t="s">
        <v>41</v>
      </c>
      <c r="C28" s="2" t="s">
        <v>224</v>
      </c>
      <c r="D28" s="2" t="s">
        <v>225</v>
      </c>
      <c r="E28" s="2" t="s">
        <v>226</v>
      </c>
      <c r="F28" s="2" t="s">
        <v>55</v>
      </c>
      <c r="G28" s="2" t="s">
        <v>46</v>
      </c>
      <c r="H28" s="2" t="s">
        <v>227</v>
      </c>
      <c r="I28" s="2" t="s">
        <v>228</v>
      </c>
      <c r="J28" s="2" t="s">
        <v>229</v>
      </c>
      <c r="K28" s="2" t="s">
        <v>50</v>
      </c>
    </row>
    <row r="29" spans="1:11" x14ac:dyDescent="0.25">
      <c r="A29" s="2" t="s">
        <v>230</v>
      </c>
      <c r="B29" s="2" t="s">
        <v>41</v>
      </c>
      <c r="C29" s="2" t="s">
        <v>231</v>
      </c>
      <c r="D29" s="2" t="s">
        <v>232</v>
      </c>
      <c r="E29" s="2" t="s">
        <v>233</v>
      </c>
      <c r="F29" s="2" t="s">
        <v>55</v>
      </c>
      <c r="G29" s="2" t="s">
        <v>46</v>
      </c>
      <c r="H29" s="2" t="s">
        <v>206</v>
      </c>
      <c r="I29" s="2" t="s">
        <v>234</v>
      </c>
      <c r="J29" s="2" t="s">
        <v>235</v>
      </c>
      <c r="K29" s="2" t="s">
        <v>50</v>
      </c>
    </row>
    <row r="30" spans="1:11" x14ac:dyDescent="0.25">
      <c r="A30" s="2" t="s">
        <v>236</v>
      </c>
      <c r="B30" s="2" t="s">
        <v>41</v>
      </c>
      <c r="C30" s="2" t="s">
        <v>237</v>
      </c>
      <c r="D30" s="2" t="s">
        <v>238</v>
      </c>
      <c r="E30" s="2" t="s">
        <v>239</v>
      </c>
      <c r="F30" s="2" t="s">
        <v>55</v>
      </c>
      <c r="G30" s="2" t="s">
        <v>46</v>
      </c>
      <c r="H30" s="2" t="s">
        <v>240</v>
      </c>
      <c r="I30" s="2" t="s">
        <v>241</v>
      </c>
      <c r="J30" s="2" t="s">
        <v>242</v>
      </c>
      <c r="K30" s="2" t="s">
        <v>50</v>
      </c>
    </row>
    <row r="31" spans="1:11" x14ac:dyDescent="0.25">
      <c r="A31" s="2" t="s">
        <v>243</v>
      </c>
      <c r="B31" s="2" t="s">
        <v>41</v>
      </c>
      <c r="C31" s="2" t="s">
        <v>244</v>
      </c>
      <c r="D31" s="2" t="s">
        <v>245</v>
      </c>
      <c r="E31" s="2" t="s">
        <v>246</v>
      </c>
      <c r="F31" s="2" t="s">
        <v>55</v>
      </c>
      <c r="G31" s="2" t="s">
        <v>46</v>
      </c>
      <c r="H31" s="2" t="s">
        <v>247</v>
      </c>
      <c r="I31" s="2" t="s">
        <v>248</v>
      </c>
      <c r="J31" s="2" t="s">
        <v>249</v>
      </c>
      <c r="K31" s="2" t="s">
        <v>50</v>
      </c>
    </row>
    <row r="32" spans="1:11" x14ac:dyDescent="0.25">
      <c r="A32" s="2" t="s">
        <v>250</v>
      </c>
      <c r="B32" s="2" t="s">
        <v>41</v>
      </c>
      <c r="C32" s="2" t="s">
        <v>251</v>
      </c>
      <c r="D32" s="2" t="s">
        <v>252</v>
      </c>
      <c r="E32" s="2" t="s">
        <v>253</v>
      </c>
      <c r="F32" s="2" t="s">
        <v>55</v>
      </c>
      <c r="G32" s="2" t="s">
        <v>46</v>
      </c>
      <c r="H32" s="2" t="s">
        <v>179</v>
      </c>
      <c r="I32" s="2" t="s">
        <v>254</v>
      </c>
      <c r="J32" s="2" t="s">
        <v>255</v>
      </c>
      <c r="K32" s="2" t="s">
        <v>50</v>
      </c>
    </row>
    <row r="33" spans="1:11" x14ac:dyDescent="0.25">
      <c r="A33" s="2" t="s">
        <v>256</v>
      </c>
      <c r="B33" s="2" t="s">
        <v>41</v>
      </c>
      <c r="C33" s="2" t="s">
        <v>257</v>
      </c>
      <c r="D33" s="2" t="s">
        <v>258</v>
      </c>
      <c r="E33" s="2" t="s">
        <v>259</v>
      </c>
      <c r="F33" s="2" t="s">
        <v>55</v>
      </c>
      <c r="G33" s="2" t="s">
        <v>46</v>
      </c>
      <c r="H33" s="2" t="s">
        <v>260</v>
      </c>
      <c r="I33" s="2" t="s">
        <v>261</v>
      </c>
      <c r="J33" s="2" t="s">
        <v>262</v>
      </c>
      <c r="K33" s="2" t="s">
        <v>50</v>
      </c>
    </row>
    <row r="34" spans="1:11" x14ac:dyDescent="0.25">
      <c r="A34" s="2" t="s">
        <v>263</v>
      </c>
      <c r="B34" s="2" t="s">
        <v>41</v>
      </c>
      <c r="C34" s="2" t="s">
        <v>264</v>
      </c>
      <c r="D34" s="2" t="s">
        <v>265</v>
      </c>
      <c r="E34" s="2" t="s">
        <v>266</v>
      </c>
      <c r="F34" s="2" t="s">
        <v>267</v>
      </c>
      <c r="G34" s="2" t="s">
        <v>46</v>
      </c>
      <c r="H34" s="2" t="s">
        <v>206</v>
      </c>
      <c r="I34" s="2" t="s">
        <v>268</v>
      </c>
      <c r="J34" s="2" t="s">
        <v>269</v>
      </c>
      <c r="K34" s="2" t="s">
        <v>50</v>
      </c>
    </row>
    <row r="35" spans="1:11" x14ac:dyDescent="0.25">
      <c r="A35" s="2" t="s">
        <v>270</v>
      </c>
      <c r="B35" s="2" t="s">
        <v>41</v>
      </c>
      <c r="C35" s="2" t="s">
        <v>271</v>
      </c>
      <c r="D35" s="2" t="s">
        <v>272</v>
      </c>
      <c r="E35" s="2" t="s">
        <v>273</v>
      </c>
      <c r="F35" s="2" t="s">
        <v>267</v>
      </c>
      <c r="G35" s="2" t="s">
        <v>46</v>
      </c>
      <c r="H35" s="2" t="s">
        <v>165</v>
      </c>
      <c r="I35" s="2" t="s">
        <v>274</v>
      </c>
      <c r="J35" s="2" t="s">
        <v>275</v>
      </c>
      <c r="K35" s="2" t="s">
        <v>50</v>
      </c>
    </row>
    <row r="36" spans="1:11" x14ac:dyDescent="0.25">
      <c r="A36" s="2" t="s">
        <v>276</v>
      </c>
      <c r="B36" s="2" t="s">
        <v>277</v>
      </c>
      <c r="C36" s="2" t="s">
        <v>278</v>
      </c>
      <c r="D36" s="2" t="s">
        <v>279</v>
      </c>
      <c r="E36" s="2" t="s">
        <v>280</v>
      </c>
      <c r="F36" s="2"/>
      <c r="G36" s="2" t="s">
        <v>46</v>
      </c>
      <c r="H36" s="2" t="s">
        <v>281</v>
      </c>
      <c r="I36" s="2" t="s">
        <v>282</v>
      </c>
      <c r="J36" s="2" t="s">
        <v>283</v>
      </c>
      <c r="K36" s="2" t="s">
        <v>50</v>
      </c>
    </row>
    <row r="37" spans="1:11" x14ac:dyDescent="0.25">
      <c r="A37" s="2" t="s">
        <v>284</v>
      </c>
      <c r="B37" s="2" t="s">
        <v>277</v>
      </c>
      <c r="C37" s="2" t="s">
        <v>285</v>
      </c>
      <c r="D37" s="2" t="s">
        <v>286</v>
      </c>
      <c r="E37" s="2" t="s">
        <v>287</v>
      </c>
      <c r="F37" s="2"/>
      <c r="G37" s="2" t="s">
        <v>46</v>
      </c>
      <c r="H37" s="2" t="s">
        <v>288</v>
      </c>
      <c r="I37" s="2" t="s">
        <v>289</v>
      </c>
      <c r="J37" s="2" t="s">
        <v>290</v>
      </c>
      <c r="K37" s="2" t="s">
        <v>50</v>
      </c>
    </row>
    <row r="38" spans="1:11" x14ac:dyDescent="0.25">
      <c r="A38" s="2" t="s">
        <v>291</v>
      </c>
      <c r="B38" s="2" t="s">
        <v>277</v>
      </c>
      <c r="C38" s="2" t="s">
        <v>292</v>
      </c>
      <c r="D38" s="2" t="s">
        <v>293</v>
      </c>
      <c r="E38" s="2" t="s">
        <v>294</v>
      </c>
      <c r="F38" s="2"/>
      <c r="G38" s="2" t="s">
        <v>46</v>
      </c>
      <c r="H38" s="2" t="s">
        <v>295</v>
      </c>
      <c r="I38" s="2" t="s">
        <v>296</v>
      </c>
      <c r="J38" s="2" t="s">
        <v>297</v>
      </c>
      <c r="K38" s="2" t="s">
        <v>50</v>
      </c>
    </row>
    <row r="39" spans="1:11" x14ac:dyDescent="0.25">
      <c r="A39" s="2" t="s">
        <v>298</v>
      </c>
      <c r="B39" s="2" t="s">
        <v>277</v>
      </c>
      <c r="C39" s="2" t="s">
        <v>299</v>
      </c>
      <c r="D39" s="2" t="s">
        <v>300</v>
      </c>
      <c r="E39" s="2" t="s">
        <v>301</v>
      </c>
      <c r="F39" s="2"/>
      <c r="G39" s="2" t="s">
        <v>46</v>
      </c>
      <c r="H39" s="2" t="s">
        <v>302</v>
      </c>
      <c r="I39" s="2" t="s">
        <v>303</v>
      </c>
      <c r="J39" s="2" t="s">
        <v>304</v>
      </c>
      <c r="K39" s="2" t="s">
        <v>50</v>
      </c>
    </row>
    <row r="40" spans="1:11" x14ac:dyDescent="0.25">
      <c r="A40" s="2" t="s">
        <v>305</v>
      </c>
      <c r="B40" s="2" t="s">
        <v>277</v>
      </c>
      <c r="C40" s="2" t="s">
        <v>306</v>
      </c>
      <c r="D40" s="2" t="s">
        <v>307</v>
      </c>
      <c r="E40" s="2" t="s">
        <v>308</v>
      </c>
      <c r="F40" s="2"/>
      <c r="G40" s="2" t="s">
        <v>46</v>
      </c>
      <c r="H40" s="2" t="s">
        <v>47</v>
      </c>
      <c r="I40" s="2" t="s">
        <v>309</v>
      </c>
      <c r="J40" s="2" t="s">
        <v>310</v>
      </c>
      <c r="K40" s="2" t="s">
        <v>50</v>
      </c>
    </row>
    <row r="41" spans="1:11" x14ac:dyDescent="0.25">
      <c r="A41" s="2" t="s">
        <v>311</v>
      </c>
      <c r="B41" s="2" t="s">
        <v>277</v>
      </c>
      <c r="C41" s="2" t="s">
        <v>312</v>
      </c>
      <c r="D41" s="2" t="s">
        <v>313</v>
      </c>
      <c r="E41" s="2" t="s">
        <v>314</v>
      </c>
      <c r="F41" s="2"/>
      <c r="G41" s="2" t="s">
        <v>46</v>
      </c>
      <c r="H41" s="2" t="s">
        <v>315</v>
      </c>
      <c r="I41" s="2" t="s">
        <v>316</v>
      </c>
      <c r="J41" s="2" t="s">
        <v>317</v>
      </c>
      <c r="K41" s="2" t="s">
        <v>50</v>
      </c>
    </row>
    <row r="42" spans="1:11" x14ac:dyDescent="0.25">
      <c r="A42" s="2" t="s">
        <v>318</v>
      </c>
      <c r="B42" s="2" t="s">
        <v>277</v>
      </c>
      <c r="C42" s="2" t="s">
        <v>319</v>
      </c>
      <c r="D42" s="2" t="s">
        <v>320</v>
      </c>
      <c r="E42" s="2" t="s">
        <v>321</v>
      </c>
      <c r="F42" s="2"/>
      <c r="G42" s="2" t="s">
        <v>46</v>
      </c>
      <c r="H42" s="2" t="s">
        <v>322</v>
      </c>
      <c r="I42" s="2" t="s">
        <v>323</v>
      </c>
      <c r="J42" s="2" t="s">
        <v>324</v>
      </c>
      <c r="K42" s="2" t="s">
        <v>50</v>
      </c>
    </row>
    <row r="43" spans="1:11" x14ac:dyDescent="0.25">
      <c r="A43" s="2" t="s">
        <v>325</v>
      </c>
      <c r="B43" s="2" t="s">
        <v>277</v>
      </c>
      <c r="C43" s="2" t="s">
        <v>326</v>
      </c>
      <c r="D43" s="2" t="s">
        <v>327</v>
      </c>
      <c r="E43" s="2" t="s">
        <v>328</v>
      </c>
      <c r="F43" s="2"/>
      <c r="G43" s="2" t="s">
        <v>46</v>
      </c>
      <c r="H43" s="2" t="s">
        <v>329</v>
      </c>
      <c r="I43" s="2" t="s">
        <v>330</v>
      </c>
      <c r="J43" s="2" t="s">
        <v>331</v>
      </c>
      <c r="K43" s="2" t="s">
        <v>50</v>
      </c>
    </row>
    <row r="44" spans="1:11" x14ac:dyDescent="0.25">
      <c r="A44" s="2" t="s">
        <v>332</v>
      </c>
      <c r="B44" s="2" t="s">
        <v>277</v>
      </c>
      <c r="C44" s="2" t="s">
        <v>333</v>
      </c>
      <c r="D44" s="2" t="s">
        <v>334</v>
      </c>
      <c r="E44" s="2" t="s">
        <v>335</v>
      </c>
      <c r="F44" s="2"/>
      <c r="G44" s="2" t="s">
        <v>46</v>
      </c>
      <c r="H44" s="2" t="s">
        <v>336</v>
      </c>
      <c r="I44" s="2" t="s">
        <v>337</v>
      </c>
      <c r="J44" s="2" t="s">
        <v>338</v>
      </c>
      <c r="K44" s="2" t="s">
        <v>50</v>
      </c>
    </row>
    <row r="45" spans="1:11" x14ac:dyDescent="0.25">
      <c r="A45" s="2" t="s">
        <v>339</v>
      </c>
      <c r="B45" s="2" t="s">
        <v>277</v>
      </c>
      <c r="C45" s="2" t="s">
        <v>340</v>
      </c>
      <c r="D45" s="2" t="s">
        <v>341</v>
      </c>
      <c r="E45" s="2" t="s">
        <v>342</v>
      </c>
      <c r="F45" s="2"/>
      <c r="G45" s="2" t="s">
        <v>46</v>
      </c>
      <c r="H45" s="2" t="s">
        <v>84</v>
      </c>
      <c r="I45" s="2" t="s">
        <v>343</v>
      </c>
      <c r="J45" s="2" t="s">
        <v>344</v>
      </c>
      <c r="K45" s="2" t="s">
        <v>50</v>
      </c>
    </row>
    <row r="46" spans="1:11" x14ac:dyDescent="0.25">
      <c r="A46" s="2" t="s">
        <v>345</v>
      </c>
      <c r="B46" s="2" t="s">
        <v>277</v>
      </c>
      <c r="C46" s="2" t="s">
        <v>346</v>
      </c>
      <c r="D46" s="2" t="s">
        <v>347</v>
      </c>
      <c r="E46" s="2" t="s">
        <v>348</v>
      </c>
      <c r="F46" s="2"/>
      <c r="G46" s="2" t="s">
        <v>46</v>
      </c>
      <c r="H46" s="2" t="s">
        <v>84</v>
      </c>
      <c r="I46" s="2" t="s">
        <v>349</v>
      </c>
      <c r="J46" s="2" t="s">
        <v>350</v>
      </c>
      <c r="K46" s="2" t="s">
        <v>50</v>
      </c>
    </row>
    <row r="47" spans="1:11" x14ac:dyDescent="0.25">
      <c r="A47" s="2" t="s">
        <v>351</v>
      </c>
      <c r="B47" s="2" t="s">
        <v>277</v>
      </c>
      <c r="C47" s="2" t="s">
        <v>352</v>
      </c>
      <c r="D47" s="2" t="s">
        <v>353</v>
      </c>
      <c r="E47" s="2" t="s">
        <v>335</v>
      </c>
      <c r="F47" s="2"/>
      <c r="G47" s="2" t="s">
        <v>46</v>
      </c>
      <c r="H47" s="2" t="s">
        <v>104</v>
      </c>
      <c r="I47" s="2" t="s">
        <v>354</v>
      </c>
      <c r="J47" s="2" t="s">
        <v>355</v>
      </c>
      <c r="K47" s="2" t="s">
        <v>50</v>
      </c>
    </row>
    <row r="48" spans="1:11" x14ac:dyDescent="0.25">
      <c r="A48" s="2" t="s">
        <v>356</v>
      </c>
      <c r="B48" s="2" t="s">
        <v>277</v>
      </c>
      <c r="C48" s="2" t="s">
        <v>357</v>
      </c>
      <c r="D48" s="2" t="s">
        <v>358</v>
      </c>
      <c r="E48" s="2" t="s">
        <v>359</v>
      </c>
      <c r="F48" s="2"/>
      <c r="G48" s="2" t="s">
        <v>46</v>
      </c>
      <c r="H48" s="2" t="s">
        <v>84</v>
      </c>
      <c r="I48" s="2" t="s">
        <v>360</v>
      </c>
      <c r="J48" s="2" t="s">
        <v>361</v>
      </c>
      <c r="K48" s="2" t="s">
        <v>50</v>
      </c>
    </row>
    <row r="49" spans="1:11" x14ac:dyDescent="0.25">
      <c r="A49" s="2" t="s">
        <v>362</v>
      </c>
      <c r="B49" s="2" t="s">
        <v>277</v>
      </c>
      <c r="C49" s="2" t="s">
        <v>363</v>
      </c>
      <c r="D49" s="2" t="s">
        <v>364</v>
      </c>
      <c r="E49" s="2" t="s">
        <v>335</v>
      </c>
      <c r="F49" s="2"/>
      <c r="G49" s="2" t="s">
        <v>46</v>
      </c>
      <c r="H49" s="2" t="s">
        <v>77</v>
      </c>
      <c r="I49" s="2" t="s">
        <v>365</v>
      </c>
      <c r="J49" s="2" t="s">
        <v>366</v>
      </c>
      <c r="K49" s="2" t="s">
        <v>50</v>
      </c>
    </row>
    <row r="50" spans="1:11" x14ac:dyDescent="0.25">
      <c r="A50" s="2" t="s">
        <v>367</v>
      </c>
      <c r="B50" s="2" t="s">
        <v>277</v>
      </c>
      <c r="C50" s="2" t="s">
        <v>368</v>
      </c>
      <c r="D50" s="2" t="s">
        <v>369</v>
      </c>
      <c r="E50" s="2" t="s">
        <v>348</v>
      </c>
      <c r="F50" s="2"/>
      <c r="G50" s="2" t="s">
        <v>46</v>
      </c>
      <c r="H50" s="2" t="s">
        <v>370</v>
      </c>
      <c r="I50" s="2" t="s">
        <v>371</v>
      </c>
      <c r="J50" s="2" t="s">
        <v>372</v>
      </c>
      <c r="K50" s="2" t="s">
        <v>50</v>
      </c>
    </row>
    <row r="51" spans="1:11" x14ac:dyDescent="0.25">
      <c r="A51" s="2" t="s">
        <v>373</v>
      </c>
      <c r="B51" s="2" t="s">
        <v>277</v>
      </c>
      <c r="C51" s="2" t="s">
        <v>374</v>
      </c>
      <c r="D51" s="2" t="s">
        <v>375</v>
      </c>
      <c r="E51" s="2" t="s">
        <v>342</v>
      </c>
      <c r="F51" s="2"/>
      <c r="G51" s="2" t="s">
        <v>46</v>
      </c>
      <c r="H51" s="2" t="s">
        <v>56</v>
      </c>
      <c r="I51" s="2" t="s">
        <v>376</v>
      </c>
      <c r="J51" s="2" t="s">
        <v>377</v>
      </c>
      <c r="K51" s="2" t="s">
        <v>50</v>
      </c>
    </row>
    <row r="52" spans="1:11" x14ac:dyDescent="0.25">
      <c r="A52" s="2" t="s">
        <v>378</v>
      </c>
      <c r="B52" s="2" t="s">
        <v>277</v>
      </c>
      <c r="C52" s="2" t="s">
        <v>379</v>
      </c>
      <c r="D52" s="2" t="s">
        <v>380</v>
      </c>
      <c r="E52" s="2" t="s">
        <v>381</v>
      </c>
      <c r="F52" s="2"/>
      <c r="G52" s="2" t="s">
        <v>46</v>
      </c>
      <c r="H52" s="2" t="s">
        <v>104</v>
      </c>
      <c r="I52" s="2" t="s">
        <v>382</v>
      </c>
      <c r="J52" s="2" t="s">
        <v>383</v>
      </c>
      <c r="K52" s="2" t="s">
        <v>50</v>
      </c>
    </row>
    <row r="53" spans="1:11" x14ac:dyDescent="0.25">
      <c r="A53" s="2" t="s">
        <v>384</v>
      </c>
      <c r="B53" s="2" t="s">
        <v>277</v>
      </c>
      <c r="C53" s="2" t="s">
        <v>385</v>
      </c>
      <c r="D53" s="2" t="s">
        <v>386</v>
      </c>
      <c r="E53" s="2" t="s">
        <v>387</v>
      </c>
      <c r="F53" s="2"/>
      <c r="G53" s="2" t="s">
        <v>46</v>
      </c>
      <c r="H53" s="2" t="s">
        <v>388</v>
      </c>
      <c r="I53" s="2" t="s">
        <v>389</v>
      </c>
      <c r="J53" s="2" t="s">
        <v>390</v>
      </c>
      <c r="K53" s="2" t="s">
        <v>50</v>
      </c>
    </row>
    <row r="54" spans="1:11" x14ac:dyDescent="0.25">
      <c r="A54" s="2" t="s">
        <v>391</v>
      </c>
      <c r="B54" s="2" t="s">
        <v>277</v>
      </c>
      <c r="C54" s="2" t="s">
        <v>392</v>
      </c>
      <c r="D54" s="2" t="s">
        <v>393</v>
      </c>
      <c r="E54" s="2" t="s">
        <v>335</v>
      </c>
      <c r="F54" s="2"/>
      <c r="G54" s="2" t="s">
        <v>46</v>
      </c>
      <c r="H54" s="2" t="s">
        <v>388</v>
      </c>
      <c r="I54" s="2" t="s">
        <v>394</v>
      </c>
      <c r="J54" s="2" t="s">
        <v>395</v>
      </c>
      <c r="K54" s="2" t="s">
        <v>50</v>
      </c>
    </row>
    <row r="55" spans="1:11" x14ac:dyDescent="0.25">
      <c r="A55" s="2" t="s">
        <v>396</v>
      </c>
      <c r="B55" s="2" t="s">
        <v>277</v>
      </c>
      <c r="C55" s="2" t="s">
        <v>397</v>
      </c>
      <c r="D55" s="2" t="s">
        <v>398</v>
      </c>
      <c r="E55" s="2" t="s">
        <v>387</v>
      </c>
      <c r="F55" s="2"/>
      <c r="G55" s="2" t="s">
        <v>46</v>
      </c>
      <c r="H55" s="2" t="s">
        <v>399</v>
      </c>
      <c r="I55" s="2" t="s">
        <v>400</v>
      </c>
      <c r="J55" s="2" t="s">
        <v>401</v>
      </c>
      <c r="K55" s="2" t="s">
        <v>50</v>
      </c>
    </row>
    <row r="56" spans="1:11" x14ac:dyDescent="0.25">
      <c r="A56" s="2" t="s">
        <v>402</v>
      </c>
      <c r="B56" s="2" t="s">
        <v>277</v>
      </c>
      <c r="C56" s="2" t="s">
        <v>403</v>
      </c>
      <c r="D56" s="2" t="s">
        <v>404</v>
      </c>
      <c r="E56" s="2" t="s">
        <v>335</v>
      </c>
      <c r="F56" s="2"/>
      <c r="G56" s="2" t="s">
        <v>46</v>
      </c>
      <c r="H56" s="2" t="s">
        <v>399</v>
      </c>
      <c r="I56" s="2" t="s">
        <v>405</v>
      </c>
      <c r="J56" s="2" t="s">
        <v>406</v>
      </c>
      <c r="K56" s="2" t="s">
        <v>50</v>
      </c>
    </row>
    <row r="57" spans="1:11" x14ac:dyDescent="0.25">
      <c r="A57" s="2" t="s">
        <v>407</v>
      </c>
      <c r="B57" s="2" t="s">
        <v>277</v>
      </c>
      <c r="C57" s="2" t="s">
        <v>408</v>
      </c>
      <c r="D57" s="2" t="s">
        <v>409</v>
      </c>
      <c r="E57" s="2" t="s">
        <v>387</v>
      </c>
      <c r="F57" s="2"/>
      <c r="G57" s="2" t="s">
        <v>46</v>
      </c>
      <c r="H57" s="2" t="s">
        <v>104</v>
      </c>
      <c r="I57" s="2" t="s">
        <v>410</v>
      </c>
      <c r="J57" s="2" t="s">
        <v>411</v>
      </c>
      <c r="K57" s="2" t="s">
        <v>50</v>
      </c>
    </row>
  </sheetData>
  <autoFilter ref="A1:K57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14" customWidth="1"/>
    <col min="3" max="3" width="12" customWidth="1"/>
    <col min="4" max="6" width="22" customWidth="1"/>
    <col min="7" max="7" width="16" customWidth="1"/>
    <col min="8" max="8" width="15" customWidth="1"/>
    <col min="9" max="9" width="22" customWidth="1"/>
    <col min="10" max="10" width="20" customWidth="1"/>
  </cols>
  <sheetData>
    <row r="1" spans="1:10" x14ac:dyDescent="0.25">
      <c r="A1" s="1" t="s">
        <v>412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5">
      <c r="A2" s="2" t="s">
        <v>413</v>
      </c>
      <c r="B2" s="2" t="s">
        <v>414</v>
      </c>
      <c r="C2" s="2" t="s">
        <v>277</v>
      </c>
      <c r="D2" s="2" t="s">
        <v>415</v>
      </c>
      <c r="E2" s="2" t="s">
        <v>416</v>
      </c>
      <c r="F2" s="2" t="s">
        <v>417</v>
      </c>
      <c r="G2" s="2" t="s">
        <v>418</v>
      </c>
      <c r="H2" s="2" t="s">
        <v>419</v>
      </c>
      <c r="I2" s="2" t="s">
        <v>420</v>
      </c>
      <c r="J2" s="2" t="s">
        <v>50</v>
      </c>
    </row>
    <row r="3" spans="1:10" x14ac:dyDescent="0.25">
      <c r="A3" s="2" t="s">
        <v>421</v>
      </c>
      <c r="B3" s="2" t="s">
        <v>414</v>
      </c>
      <c r="C3" s="2" t="s">
        <v>277</v>
      </c>
      <c r="D3" s="2" t="s">
        <v>422</v>
      </c>
      <c r="E3" s="2" t="s">
        <v>423</v>
      </c>
      <c r="F3" s="2" t="s">
        <v>424</v>
      </c>
      <c r="G3" s="2" t="s">
        <v>425</v>
      </c>
      <c r="H3" s="2" t="s">
        <v>419</v>
      </c>
      <c r="I3" s="2" t="s">
        <v>420</v>
      </c>
      <c r="J3" s="2" t="s">
        <v>50</v>
      </c>
    </row>
    <row r="4" spans="1:10" x14ac:dyDescent="0.25">
      <c r="A4" s="2" t="s">
        <v>426</v>
      </c>
      <c r="B4" s="2" t="s">
        <v>414</v>
      </c>
      <c r="C4" s="2" t="s">
        <v>277</v>
      </c>
      <c r="D4" s="2" t="s">
        <v>427</v>
      </c>
      <c r="E4" s="2" t="s">
        <v>428</v>
      </c>
      <c r="F4" s="2" t="s">
        <v>429</v>
      </c>
      <c r="G4" s="2" t="s">
        <v>430</v>
      </c>
      <c r="H4" s="2" t="s">
        <v>419</v>
      </c>
      <c r="I4" s="2" t="s">
        <v>420</v>
      </c>
      <c r="J4" s="2" t="s">
        <v>50</v>
      </c>
    </row>
  </sheetData>
  <autoFilter ref="A1:J4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5" customWidth="1"/>
    <col min="2" max="2" width="28" customWidth="1"/>
    <col min="3" max="3" width="24" customWidth="1"/>
  </cols>
  <sheetData>
    <row r="1" spans="1:3" x14ac:dyDescent="0.25">
      <c r="A1" s="1" t="s">
        <v>29</v>
      </c>
      <c r="B1" s="1" t="s">
        <v>431</v>
      </c>
      <c r="C1" s="1" t="s">
        <v>432</v>
      </c>
    </row>
    <row r="2" spans="1:3" x14ac:dyDescent="0.25">
      <c r="A2" s="2" t="s">
        <v>202</v>
      </c>
      <c r="B2" s="2" t="s">
        <v>433</v>
      </c>
      <c r="C2" s="2" t="s">
        <v>434</v>
      </c>
    </row>
    <row r="3" spans="1:3" x14ac:dyDescent="0.25">
      <c r="A3" s="2" t="s">
        <v>270</v>
      </c>
      <c r="B3" s="2" t="s">
        <v>435</v>
      </c>
      <c r="C3" s="2" t="s">
        <v>436</v>
      </c>
    </row>
    <row r="4" spans="1:3" x14ac:dyDescent="0.25">
      <c r="A4" s="2" t="s">
        <v>339</v>
      </c>
      <c r="B4" s="2" t="s">
        <v>437</v>
      </c>
      <c r="C4" s="2" t="s">
        <v>438</v>
      </c>
    </row>
    <row r="5" spans="1:3" x14ac:dyDescent="0.25">
      <c r="A5" s="2" t="s">
        <v>396</v>
      </c>
      <c r="B5" s="2" t="s">
        <v>439</v>
      </c>
      <c r="C5" s="2" t="s">
        <v>440</v>
      </c>
    </row>
  </sheetData>
  <autoFilter ref="A1:C5" xr:uid="{00000000-0009-0000-0000-000003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关键结果</vt:lpstr>
      <vt:lpstr>螺距扫描</vt:lpstr>
      <vt:lpstr>采样收敛</vt:lpstr>
      <vt:lpstr>单调性数学依据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刘</cp:lastModifiedBy>
  <dcterms:created xsi:type="dcterms:W3CDTF">2026-08-24T07:14:09Z</dcterms:created>
  <dcterms:modified xsi:type="dcterms:W3CDTF">2026-08-24T07:24:31Z</dcterms:modified>
</cp:coreProperties>
</file>